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1" sheetId="1" r:id="rId1"/>
  </sheets>
  <externalReferences>
    <externalReference r:id="rId2"/>
  </externalReferences>
  <definedNames>
    <definedName name="_xlnm.Print_Area" localSheetId="0">'1'!$A$1:$K$42</definedName>
  </definedNames>
  <calcPr calcId="124519"/>
</workbook>
</file>

<file path=xl/calcChain.xml><?xml version="1.0" encoding="utf-8"?>
<calcChain xmlns="http://schemas.openxmlformats.org/spreadsheetml/2006/main">
  <c r="K41" i="1"/>
  <c r="J41"/>
  <c r="I41"/>
  <c r="H41"/>
  <c r="G41"/>
  <c r="F41"/>
  <c r="E41"/>
  <c r="D41"/>
  <c r="K40"/>
  <c r="J40"/>
  <c r="I40"/>
  <c r="H40"/>
  <c r="G40"/>
  <c r="F40"/>
  <c r="E40"/>
  <c r="D40"/>
  <c r="K39"/>
  <c r="J39"/>
  <c r="I39"/>
  <c r="H39"/>
  <c r="G39"/>
  <c r="F39"/>
  <c r="E39"/>
  <c r="D39"/>
  <c r="K38"/>
  <c r="J38"/>
  <c r="I38"/>
  <c r="H38"/>
  <c r="G38"/>
  <c r="F38"/>
  <c r="E38"/>
  <c r="D38"/>
  <c r="K37"/>
  <c r="J37"/>
  <c r="I37"/>
  <c r="H37"/>
  <c r="G37"/>
  <c r="F37"/>
  <c r="E37"/>
  <c r="D37"/>
  <c r="K36"/>
  <c r="J36"/>
  <c r="I36"/>
  <c r="H36"/>
  <c r="G36"/>
  <c r="F36"/>
  <c r="E36"/>
  <c r="D36"/>
  <c r="K35"/>
  <c r="J35"/>
  <c r="I35"/>
  <c r="H35"/>
  <c r="G35"/>
  <c r="F35"/>
  <c r="E35"/>
  <c r="D35"/>
  <c r="K34"/>
  <c r="J34"/>
  <c r="I34"/>
  <c r="H34"/>
  <c r="G34"/>
  <c r="F34"/>
  <c r="E34"/>
  <c r="D34"/>
  <c r="K33"/>
  <c r="J33"/>
  <c r="I33"/>
  <c r="H33"/>
  <c r="G33"/>
  <c r="F33"/>
  <c r="E33"/>
  <c r="D33"/>
  <c r="K32"/>
  <c r="J32"/>
  <c r="I32"/>
  <c r="H32"/>
  <c r="G32"/>
  <c r="F32"/>
  <c r="E32"/>
  <c r="D32"/>
  <c r="K31"/>
  <c r="J31"/>
  <c r="I31"/>
  <c r="H31"/>
  <c r="G31"/>
  <c r="F31"/>
  <c r="E31"/>
  <c r="D31"/>
  <c r="K30"/>
  <c r="J30"/>
  <c r="I30"/>
  <c r="H30"/>
  <c r="G30"/>
  <c r="F30"/>
  <c r="E30"/>
  <c r="D30"/>
  <c r="K29"/>
  <c r="J29"/>
  <c r="I29"/>
  <c r="H29"/>
  <c r="G29"/>
  <c r="F29"/>
  <c r="E29"/>
  <c r="D29"/>
  <c r="K28"/>
  <c r="J28"/>
  <c r="I28"/>
  <c r="H28"/>
  <c r="G28"/>
  <c r="F28"/>
  <c r="E28"/>
  <c r="D28"/>
  <c r="K27"/>
  <c r="J27"/>
  <c r="I27"/>
  <c r="H27"/>
  <c r="G27"/>
  <c r="F27"/>
  <c r="E27"/>
  <c r="D27"/>
  <c r="K26"/>
  <c r="J26"/>
  <c r="I26"/>
  <c r="H26"/>
  <c r="G26"/>
  <c r="F26"/>
  <c r="E26"/>
  <c r="D26"/>
  <c r="K25"/>
  <c r="J25"/>
  <c r="I25"/>
  <c r="H25"/>
  <c r="G25"/>
  <c r="F25"/>
  <c r="E25"/>
  <c r="D25"/>
  <c r="K24"/>
  <c r="J24"/>
  <c r="I24"/>
  <c r="H24"/>
  <c r="G24"/>
  <c r="F24"/>
  <c r="E24"/>
  <c r="D24"/>
  <c r="K23"/>
  <c r="J23"/>
  <c r="I23"/>
  <c r="H23"/>
  <c r="G23"/>
  <c r="F23"/>
  <c r="E23"/>
  <c r="D23"/>
  <c r="K22"/>
  <c r="J22"/>
  <c r="I22"/>
  <c r="H22"/>
  <c r="G22"/>
  <c r="F22"/>
  <c r="E22"/>
  <c r="D22"/>
  <c r="K21"/>
  <c r="J21"/>
  <c r="I21"/>
  <c r="H21"/>
  <c r="G21"/>
  <c r="F21"/>
  <c r="E21"/>
  <c r="D21"/>
  <c r="K20"/>
  <c r="J20"/>
  <c r="I20"/>
  <c r="H20"/>
  <c r="G20"/>
  <c r="F20"/>
  <c r="E20"/>
  <c r="D20"/>
  <c r="K19"/>
  <c r="J19"/>
  <c r="I19"/>
  <c r="H19"/>
  <c r="G19"/>
  <c r="F19"/>
  <c r="E19"/>
  <c r="D19"/>
  <c r="K18"/>
  <c r="J18"/>
  <c r="I18"/>
  <c r="H18"/>
  <c r="G18"/>
  <c r="F18"/>
  <c r="E18"/>
  <c r="D18"/>
  <c r="K17"/>
  <c r="J17"/>
  <c r="I17"/>
  <c r="H17"/>
  <c r="G17"/>
  <c r="F17"/>
  <c r="E17"/>
  <c r="D17"/>
  <c r="K16"/>
  <c r="J16"/>
  <c r="I16"/>
  <c r="H16"/>
  <c r="G16"/>
  <c r="F16"/>
  <c r="E16"/>
  <c r="D16"/>
  <c r="K15"/>
  <c r="J15"/>
  <c r="I15"/>
  <c r="H15"/>
  <c r="G15"/>
  <c r="F15"/>
  <c r="E15"/>
  <c r="D15"/>
  <c r="K14"/>
  <c r="J14"/>
  <c r="I14"/>
  <c r="H14"/>
  <c r="G14"/>
  <c r="F14"/>
  <c r="E14"/>
  <c r="D14"/>
  <c r="K13"/>
  <c r="J13"/>
  <c r="I13"/>
  <c r="H13"/>
  <c r="G13"/>
  <c r="F13"/>
  <c r="E13"/>
  <c r="D13"/>
  <c r="K12"/>
  <c r="J12"/>
  <c r="I12"/>
  <c r="H12"/>
  <c r="G12"/>
  <c r="F12"/>
  <c r="E12"/>
  <c r="D12"/>
  <c r="K11"/>
  <c r="J11"/>
  <c r="I11"/>
  <c r="H11"/>
  <c r="G11"/>
  <c r="F11"/>
  <c r="E11"/>
  <c r="D11"/>
  <c r="K10"/>
  <c r="J10"/>
  <c r="I10"/>
  <c r="H10"/>
  <c r="G10"/>
  <c r="F10"/>
  <c r="E10"/>
  <c r="D10"/>
  <c r="K9"/>
  <c r="J9"/>
  <c r="I9"/>
  <c r="H9"/>
  <c r="G9"/>
  <c r="F9"/>
  <c r="E9"/>
  <c r="D9"/>
  <c r="K8"/>
  <c r="J8"/>
  <c r="I8"/>
  <c r="I42" s="1"/>
  <c r="H8"/>
  <c r="H42" s="1"/>
  <c r="G8"/>
  <c r="G42" s="1"/>
  <c r="F8"/>
  <c r="F42" s="1"/>
  <c r="J42" s="1"/>
  <c r="E8"/>
  <c r="E42" s="1"/>
  <c r="D8"/>
  <c r="D42" s="1"/>
  <c r="K42" l="1"/>
</calcChain>
</file>

<file path=xl/sharedStrings.xml><?xml version="1.0" encoding="utf-8"?>
<sst xmlns="http://schemas.openxmlformats.org/spreadsheetml/2006/main" count="59" uniqueCount="57">
  <si>
    <t>Sr No</t>
  </si>
  <si>
    <t>States and UT</t>
  </si>
  <si>
    <t>MSW Generation (MMTPA)</t>
  </si>
  <si>
    <t>Total waste generation (tonnes/day)</t>
  </si>
  <si>
    <t>Total waste Collection (tonnes/day)</t>
  </si>
  <si>
    <t>Total waste Treatment (tonnes/day)</t>
  </si>
  <si>
    <t>No. of compost plants</t>
  </si>
  <si>
    <t xml:space="preserve">No. of existing dumpsites - </t>
  </si>
  <si>
    <t>Collection Rate %</t>
  </si>
  <si>
    <t>Treatment Rate %</t>
  </si>
  <si>
    <t>http://www.indiaenvironmentportal.org.in/files/file/Generation%20of%20Waste.pdf</t>
  </si>
  <si>
    <t>http://www.ghgplatform-india.org/Images/Publications/GHGPI-PhaseII-Status%20of%20the%20Swacch%20Bharat%20Mission%20Implications%20on%20India%E2%80%99s%20Solid%20Waste%20Emissions-Oct17.pdf</t>
  </si>
  <si>
    <t>https://www.researchgate.net/publication/326636356_Municipal_solid_waste_management_in_India_Status_problems_and_challenges</t>
  </si>
  <si>
    <t>https://icrier.org/pdf/Working_Paper_356.pdf</t>
  </si>
  <si>
    <t>http://www.indiaenvironmentportal.org.in/files/file/Solid%20waste%20Dumpsites%20Data%20of%20States-UTs.pdf</t>
  </si>
  <si>
    <t>MINISTRY OF NEW AND RENEWABLE ENERGY , GOI</t>
  </si>
  <si>
    <t>GHG Platform India (Authors - : Nikhil Kolsepatil, Anandhan Subramaniyam, Soumya Chaturvedula)</t>
  </si>
  <si>
    <t>M. Balasubramanian (Cited CPCB Report)</t>
  </si>
  <si>
    <t>ICRIER (Authors - Isher Judge Ahluwalia &amp; Utkarsh Patel)</t>
  </si>
  <si>
    <t>CPCB</t>
  </si>
  <si>
    <t>Andaman &amp; Nicobar Islands</t>
  </si>
  <si>
    <t>Andhra Pradesh &amp; Telangana</t>
  </si>
  <si>
    <t>Arunachal Pradesh</t>
  </si>
  <si>
    <t>Assam</t>
  </si>
  <si>
    <t>Bihar</t>
  </si>
  <si>
    <t>Chandigarh</t>
  </si>
  <si>
    <t>Chhattisgarh</t>
  </si>
  <si>
    <t>Dadra &amp; Nagra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</si>
  <si>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</si>
  <si>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</si>
  <si>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</si>
  <si>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</si>
  <si>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</si>
  <si>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</si>
  <si>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</si>
  <si>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</si>
  <si>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</si>
  <si>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</si>
  <si>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</si>
  <si>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</si>
  <si>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</si>
  <si>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</si>
  <si>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</si>
  <si>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</si>
  <si>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Orrisa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</si>
  <si>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</si>
  <si>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</si>
  <si>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</si>
  <si>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</si>
  <si>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</si>
  <si>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</si>
  <si>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</si>
  <si>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</si>
  <si>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</si>
  <si>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Total</t>
  </si>
  <si>
    <t>MUNICIPAL SOLID WASTE DATA - INDIA</t>
  </si>
  <si>
    <t>Sources: Publically available and mentioned across each item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</si>
</sst>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43" fontId="0" fillId="0" borderId="0" xfId="1" applyFont="1" applyAlignment="1">
      <alignment horizontal="right" vertical="center"/>
    </xf>
    <xf numFmtId="0" fontId="0" fillId="0" borderId="0" xfId="0" applyAlignment="1">
      <alignment horizontal="right" vertical="center"/>
    </xf>
    <xf numFmtId="9" fontId="0" fillId="0" borderId="0" xfId="2" applyFont="1" applyAlignment="1">
      <alignment horizontal="right" vertical="center"/>
    </xf>
    <xf numFmtId="0" fontId="2" fillId="0" borderId="1" xfId="0" applyFont="1" applyBorder="1"/>
    <xf numFmtId="4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9" fontId="2" fillId="0" borderId="1" xfId="2" applyFont="1" applyBorder="1" applyAlignment="1">
      <alignment horizontal="right" vertical="center"/>
    </xf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W%20-%2020%20Jun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0"/>
      <sheetName val="1"/>
      <sheetName val="Sheet1"/>
      <sheetName val="Charts to make"/>
      <sheetName val="Sheet3"/>
    </sheetNames>
    <sheetDataSet>
      <sheetData sheetId="0">
        <row r="7">
          <cell r="E7">
            <v>3.6499999999999998E-2</v>
          </cell>
          <cell r="G7">
            <v>115</v>
          </cell>
          <cell r="H7">
            <v>70</v>
          </cell>
          <cell r="I7">
            <v>5</v>
          </cell>
          <cell r="J7">
            <v>1</v>
          </cell>
          <cell r="M7">
            <v>1</v>
          </cell>
          <cell r="O7">
            <v>0.60869565217391308</v>
          </cell>
          <cell r="P7">
            <v>4.3478260869565216E-2</v>
          </cell>
        </row>
        <row r="8">
          <cell r="E8">
            <v>5.020575</v>
          </cell>
          <cell r="G8">
            <v>13896</v>
          </cell>
          <cell r="H8">
            <v>10656</v>
          </cell>
          <cell r="I8">
            <v>9418</v>
          </cell>
          <cell r="J8">
            <v>7</v>
          </cell>
          <cell r="M8">
            <v>183</v>
          </cell>
          <cell r="O8">
            <v>0.76683937823834192</v>
          </cell>
          <cell r="P8">
            <v>0.8838213213213213</v>
          </cell>
        </row>
        <row r="9">
          <cell r="E9">
            <v>6.6064999999999999E-2</v>
          </cell>
          <cell r="G9">
            <v>181</v>
          </cell>
          <cell r="H9">
            <v>82</v>
          </cell>
          <cell r="I9">
            <v>74</v>
          </cell>
          <cell r="J9">
            <v>0</v>
          </cell>
          <cell r="M9">
            <v>31</v>
          </cell>
          <cell r="O9">
            <v>0.45303867403314918</v>
          </cell>
          <cell r="P9">
            <v>0.90243902439024393</v>
          </cell>
        </row>
        <row r="10">
          <cell r="E10">
            <v>0.41391</v>
          </cell>
          <cell r="G10">
            <v>1134</v>
          </cell>
          <cell r="H10">
            <v>350</v>
          </cell>
          <cell r="I10">
            <v>100</v>
          </cell>
          <cell r="J10">
            <v>1</v>
          </cell>
          <cell r="M10">
            <v>76</v>
          </cell>
          <cell r="O10">
            <v>0.30864197530864196</v>
          </cell>
          <cell r="P10">
            <v>0.2857142857142857</v>
          </cell>
        </row>
        <row r="11">
          <cell r="E11">
            <v>0.82891499999999996</v>
          </cell>
          <cell r="G11">
            <v>14820</v>
          </cell>
          <cell r="H11" t="str">
            <v>n/a</v>
          </cell>
          <cell r="I11" t="str">
            <v>n/a</v>
          </cell>
          <cell r="J11">
            <v>0</v>
          </cell>
          <cell r="M11">
            <v>156</v>
          </cell>
          <cell r="O11" t="str">
            <v>n/a</v>
          </cell>
          <cell r="P11" t="str">
            <v>n/a</v>
          </cell>
        </row>
        <row r="12">
          <cell r="E12">
            <v>0.17227999999999999</v>
          </cell>
          <cell r="G12">
            <v>340</v>
          </cell>
          <cell r="H12">
            <v>330</v>
          </cell>
          <cell r="I12">
            <v>250</v>
          </cell>
          <cell r="J12">
            <v>0</v>
          </cell>
          <cell r="M12">
            <v>1</v>
          </cell>
          <cell r="O12">
            <v>0.97058823529411764</v>
          </cell>
          <cell r="P12">
            <v>0.75757575757575757</v>
          </cell>
        </row>
        <row r="13">
          <cell r="E13">
            <v>0.601885</v>
          </cell>
          <cell r="G13">
            <v>1850</v>
          </cell>
          <cell r="H13">
            <v>1704</v>
          </cell>
          <cell r="I13">
            <v>168</v>
          </cell>
          <cell r="J13">
            <v>1</v>
          </cell>
          <cell r="M13">
            <v>8</v>
          </cell>
          <cell r="O13">
            <v>0.92108108108108111</v>
          </cell>
          <cell r="P13">
            <v>9.8591549295774641E-2</v>
          </cell>
        </row>
        <row r="14">
          <cell r="E14">
            <v>2.4455000000000001E-2</v>
          </cell>
          <cell r="G14">
            <v>81</v>
          </cell>
          <cell r="H14">
            <v>67</v>
          </cell>
          <cell r="I14">
            <v>18</v>
          </cell>
          <cell r="J14">
            <v>1</v>
          </cell>
          <cell r="M14">
            <v>1</v>
          </cell>
          <cell r="O14">
            <v>0.8271604938271605</v>
          </cell>
          <cell r="P14">
            <v>0.26865671641791045</v>
          </cell>
        </row>
        <row r="15">
          <cell r="E15">
            <v>3.8325</v>
          </cell>
          <cell r="G15">
            <v>10500</v>
          </cell>
          <cell r="H15">
            <v>7000</v>
          </cell>
          <cell r="I15">
            <v>4150</v>
          </cell>
          <cell r="J15">
            <v>4</v>
          </cell>
          <cell r="M15">
            <v>3</v>
          </cell>
          <cell r="O15">
            <v>0.66666666666666663</v>
          </cell>
          <cell r="P15">
            <v>0.59285714285714286</v>
          </cell>
        </row>
        <row r="16">
          <cell r="E16">
            <v>9.4899999999999998E-2</v>
          </cell>
          <cell r="G16">
            <v>240</v>
          </cell>
          <cell r="H16">
            <v>182</v>
          </cell>
          <cell r="I16">
            <v>182</v>
          </cell>
          <cell r="J16">
            <v>1</v>
          </cell>
          <cell r="M16">
            <v>9</v>
          </cell>
          <cell r="O16">
            <v>0.7583333333333333</v>
          </cell>
          <cell r="P16">
            <v>1</v>
          </cell>
        </row>
        <row r="17">
          <cell r="E17">
            <v>3.702925</v>
          </cell>
          <cell r="G17">
            <v>10145</v>
          </cell>
          <cell r="H17">
            <v>9227</v>
          </cell>
          <cell r="I17">
            <v>1354</v>
          </cell>
          <cell r="J17">
            <v>15</v>
          </cell>
          <cell r="M17">
            <v>170</v>
          </cell>
          <cell r="O17">
            <v>0.90951207491375063</v>
          </cell>
          <cell r="P17">
            <v>0.14674325349517719</v>
          </cell>
        </row>
        <row r="18">
          <cell r="E18">
            <v>1.64761</v>
          </cell>
          <cell r="G18">
            <v>4514</v>
          </cell>
          <cell r="H18">
            <v>3440</v>
          </cell>
          <cell r="I18">
            <v>570</v>
          </cell>
          <cell r="J18">
            <v>4</v>
          </cell>
          <cell r="M18">
            <v>65</v>
          </cell>
          <cell r="O18">
            <v>0.76207354895879487</v>
          </cell>
          <cell r="P18">
            <v>0.16569767441860464</v>
          </cell>
        </row>
        <row r="19">
          <cell r="E19">
            <v>0.12483</v>
          </cell>
          <cell r="G19">
            <v>342</v>
          </cell>
          <cell r="H19">
            <v>240</v>
          </cell>
          <cell r="I19">
            <v>150</v>
          </cell>
          <cell r="J19">
            <v>0</v>
          </cell>
          <cell r="M19">
            <v>27</v>
          </cell>
          <cell r="O19">
            <v>0.70175438596491224</v>
          </cell>
          <cell r="P19">
            <v>0.625</v>
          </cell>
        </row>
        <row r="20">
          <cell r="E20">
            <v>0.50151000000000001</v>
          </cell>
          <cell r="G20">
            <v>1792</v>
          </cell>
          <cell r="H20">
            <v>1322</v>
          </cell>
          <cell r="I20">
            <v>320</v>
          </cell>
          <cell r="J20">
            <v>0</v>
          </cell>
          <cell r="M20">
            <v>9</v>
          </cell>
          <cell r="O20">
            <v>0.7377232142857143</v>
          </cell>
          <cell r="P20">
            <v>0.24205748865355523</v>
          </cell>
        </row>
        <row r="21">
          <cell r="E21">
            <v>0.84933499999999995</v>
          </cell>
          <cell r="G21">
            <v>3570</v>
          </cell>
          <cell r="H21">
            <v>2350</v>
          </cell>
          <cell r="I21">
            <v>65</v>
          </cell>
          <cell r="J21">
            <v>0</v>
          </cell>
          <cell r="M21">
            <v>42</v>
          </cell>
          <cell r="O21">
            <v>0.65826330532212884</v>
          </cell>
          <cell r="P21">
            <v>2.7659574468085105E-2</v>
          </cell>
        </row>
        <row r="22">
          <cell r="E22">
            <v>3.65</v>
          </cell>
          <cell r="G22">
            <v>10000</v>
          </cell>
          <cell r="H22">
            <v>7602</v>
          </cell>
          <cell r="I22">
            <v>2000</v>
          </cell>
          <cell r="J22">
            <v>18</v>
          </cell>
          <cell r="M22">
            <v>215</v>
          </cell>
          <cell r="O22">
            <v>0.76019999999999999</v>
          </cell>
          <cell r="P22">
            <v>0.26308866087871613</v>
          </cell>
        </row>
        <row r="23">
          <cell r="E23">
            <v>0.22775999999999999</v>
          </cell>
          <cell r="G23">
            <v>1576</v>
          </cell>
          <cell r="H23">
            <v>776</v>
          </cell>
          <cell r="I23">
            <v>470</v>
          </cell>
          <cell r="J23">
            <v>3</v>
          </cell>
          <cell r="M23">
            <v>52</v>
          </cell>
          <cell r="O23">
            <v>0.49238578680203043</v>
          </cell>
          <cell r="P23">
            <v>0.60567010309278346</v>
          </cell>
        </row>
        <row r="24">
          <cell r="E24" t="str">
            <v>n/a</v>
          </cell>
          <cell r="G24" t="str">
            <v>n/a</v>
          </cell>
          <cell r="H24" t="str">
            <v>n/a</v>
          </cell>
          <cell r="I24" t="str">
            <v>n/a</v>
          </cell>
          <cell r="J24">
            <v>0</v>
          </cell>
          <cell r="M24">
            <v>0</v>
          </cell>
          <cell r="O24" t="str">
            <v>n/a</v>
          </cell>
          <cell r="P24" t="str">
            <v>n/a</v>
          </cell>
        </row>
        <row r="25">
          <cell r="E25">
            <v>2.34476</v>
          </cell>
          <cell r="G25">
            <v>5079</v>
          </cell>
          <cell r="H25">
            <v>4298</v>
          </cell>
          <cell r="I25">
            <v>802</v>
          </cell>
          <cell r="J25">
            <v>1</v>
          </cell>
          <cell r="M25">
            <v>378</v>
          </cell>
          <cell r="O25">
            <v>0.84622957275054145</v>
          </cell>
          <cell r="P25">
            <v>0.18659841786877618</v>
          </cell>
        </row>
        <row r="26">
          <cell r="E26">
            <v>8.2380499999999994</v>
          </cell>
          <cell r="G26">
            <v>26820</v>
          </cell>
          <cell r="H26">
            <v>14900</v>
          </cell>
          <cell r="I26">
            <v>4700</v>
          </cell>
          <cell r="J26">
            <v>13</v>
          </cell>
          <cell r="M26">
            <v>327</v>
          </cell>
          <cell r="O26">
            <v>0.55555555555555558</v>
          </cell>
          <cell r="P26">
            <v>0.31543624161073824</v>
          </cell>
        </row>
        <row r="27">
          <cell r="E27">
            <v>6.4240000000000005E-2</v>
          </cell>
          <cell r="G27">
            <v>176</v>
          </cell>
          <cell r="H27">
            <v>125</v>
          </cell>
          <cell r="I27">
            <v>0</v>
          </cell>
          <cell r="J27">
            <v>0</v>
          </cell>
          <cell r="M27">
            <v>21</v>
          </cell>
          <cell r="O27">
            <v>0.71022727272727271</v>
          </cell>
          <cell r="P27">
            <v>0</v>
          </cell>
        </row>
        <row r="28">
          <cell r="E28">
            <v>9.7820000000000004E-2</v>
          </cell>
          <cell r="G28">
            <v>268</v>
          </cell>
          <cell r="H28">
            <v>199</v>
          </cell>
          <cell r="I28">
            <v>98</v>
          </cell>
          <cell r="J28">
            <v>0</v>
          </cell>
          <cell r="M28">
            <v>6</v>
          </cell>
          <cell r="O28">
            <v>0.7425373134328358</v>
          </cell>
          <cell r="P28">
            <v>0.49246231155778897</v>
          </cell>
        </row>
        <row r="29">
          <cell r="E29">
            <v>7.3365E-2</v>
          </cell>
          <cell r="G29">
            <v>276</v>
          </cell>
          <cell r="H29">
            <v>239</v>
          </cell>
          <cell r="I29">
            <v>0</v>
          </cell>
          <cell r="J29">
            <v>0</v>
          </cell>
          <cell r="M29">
            <v>1</v>
          </cell>
          <cell r="O29">
            <v>0.86594202898550721</v>
          </cell>
          <cell r="P29">
            <v>0</v>
          </cell>
        </row>
        <row r="30">
          <cell r="E30">
            <v>0.12483</v>
          </cell>
          <cell r="G30">
            <v>342</v>
          </cell>
          <cell r="H30">
            <v>186</v>
          </cell>
          <cell r="I30">
            <v>18</v>
          </cell>
          <cell r="J30">
            <v>0</v>
          </cell>
          <cell r="M30">
            <v>13</v>
          </cell>
          <cell r="O30">
            <v>0.54385964912280704</v>
          </cell>
          <cell r="P30">
            <v>9.6774193548387094E-2</v>
          </cell>
        </row>
        <row r="31">
          <cell r="E31">
            <v>0.99280000000000002</v>
          </cell>
          <cell r="G31">
            <v>2460</v>
          </cell>
          <cell r="H31">
            <v>2107</v>
          </cell>
          <cell r="I31">
            <v>30</v>
          </cell>
          <cell r="J31">
            <v>0</v>
          </cell>
          <cell r="M31">
            <v>112</v>
          </cell>
          <cell r="O31">
            <v>0.85650406504065035</v>
          </cell>
          <cell r="P31">
            <v>1.4238253440911248E-2</v>
          </cell>
        </row>
        <row r="32">
          <cell r="E32">
            <v>0.12775</v>
          </cell>
          <cell r="G32">
            <v>495</v>
          </cell>
          <cell r="H32">
            <v>495</v>
          </cell>
          <cell r="I32">
            <v>0</v>
          </cell>
          <cell r="J32">
            <v>0</v>
          </cell>
          <cell r="M32">
            <v>3</v>
          </cell>
          <cell r="O32">
            <v>1</v>
          </cell>
          <cell r="P32">
            <v>0</v>
          </cell>
        </row>
        <row r="33">
          <cell r="E33">
            <v>1.4964999999999999</v>
          </cell>
          <cell r="G33">
            <v>4100</v>
          </cell>
          <cell r="H33">
            <v>3853</v>
          </cell>
          <cell r="I33">
            <v>32</v>
          </cell>
          <cell r="J33">
            <v>2</v>
          </cell>
          <cell r="M33">
            <v>150</v>
          </cell>
          <cell r="O33">
            <v>0.93975609756097556</v>
          </cell>
          <cell r="P33">
            <v>8.3052167142486366E-3</v>
          </cell>
        </row>
        <row r="34">
          <cell r="E34">
            <v>2.3725000000000001</v>
          </cell>
          <cell r="G34">
            <v>6400</v>
          </cell>
          <cell r="H34">
            <v>2491</v>
          </cell>
          <cell r="I34">
            <v>490</v>
          </cell>
          <cell r="J34">
            <v>1</v>
          </cell>
          <cell r="M34">
            <v>195</v>
          </cell>
          <cell r="O34">
            <v>0.38921875</v>
          </cell>
          <cell r="P34">
            <v>0.19670814933761541</v>
          </cell>
        </row>
        <row r="35">
          <cell r="E35">
            <v>3.2485E-2</v>
          </cell>
          <cell r="G35">
            <v>89</v>
          </cell>
          <cell r="H35">
            <v>49</v>
          </cell>
          <cell r="I35">
            <v>0.3</v>
          </cell>
          <cell r="J35">
            <v>0</v>
          </cell>
          <cell r="M35">
            <v>2</v>
          </cell>
          <cell r="O35">
            <v>0.550561797752809</v>
          </cell>
          <cell r="P35">
            <v>6.1224489795918364E-3</v>
          </cell>
        </row>
        <row r="36">
          <cell r="E36">
            <v>5.6016550000000001</v>
          </cell>
          <cell r="G36">
            <v>15272</v>
          </cell>
          <cell r="H36">
            <v>14234</v>
          </cell>
          <cell r="I36">
            <v>1607</v>
          </cell>
          <cell r="J36">
            <v>9</v>
          </cell>
          <cell r="M36">
            <v>140</v>
          </cell>
          <cell r="O36">
            <v>0.93203247773703513</v>
          </cell>
          <cell r="P36">
            <v>0.11289869326963609</v>
          </cell>
        </row>
        <row r="37">
          <cell r="E37">
            <v>0.15329999999999999</v>
          </cell>
          <cell r="G37">
            <v>421</v>
          </cell>
          <cell r="H37">
            <v>407</v>
          </cell>
          <cell r="I37">
            <v>0</v>
          </cell>
          <cell r="J37">
            <v>1</v>
          </cell>
          <cell r="M37">
            <v>17</v>
          </cell>
          <cell r="O37">
            <v>0.9667458432304038</v>
          </cell>
          <cell r="P37">
            <v>0</v>
          </cell>
        </row>
        <row r="38">
          <cell r="E38">
            <v>6.1319999999999997</v>
          </cell>
          <cell r="G38">
            <v>19180</v>
          </cell>
          <cell r="H38">
            <v>15500</v>
          </cell>
          <cell r="I38">
            <v>5197</v>
          </cell>
          <cell r="J38">
            <v>7</v>
          </cell>
          <cell r="M38">
            <v>609</v>
          </cell>
          <cell r="O38">
            <v>0.80813347236704902</v>
          </cell>
          <cell r="P38">
            <v>0.33529032258064517</v>
          </cell>
        </row>
        <row r="39">
          <cell r="E39">
            <v>0.51319000000000004</v>
          </cell>
          <cell r="G39">
            <v>1400</v>
          </cell>
          <cell r="H39">
            <v>1013</v>
          </cell>
          <cell r="I39">
            <v>0</v>
          </cell>
          <cell r="J39">
            <v>0</v>
          </cell>
          <cell r="M39">
            <v>42</v>
          </cell>
          <cell r="O39">
            <v>0.72357142857142853</v>
          </cell>
          <cell r="P39">
            <v>0</v>
          </cell>
        </row>
        <row r="40">
          <cell r="E40">
            <v>2.8105000000000002</v>
          </cell>
          <cell r="G40">
            <v>8675</v>
          </cell>
          <cell r="H40">
            <v>7196</v>
          </cell>
          <cell r="I40">
            <v>1415</v>
          </cell>
          <cell r="J40">
            <v>5</v>
          </cell>
          <cell r="M40">
            <v>88</v>
          </cell>
          <cell r="O40">
            <v>0.82951008645533142</v>
          </cell>
          <cell r="P40">
            <v>0.19663702056698165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42"/>
  <sheetViews>
    <sheetView showGridLines="0" tabSelected="1" view="pageBreakPreview" zoomScale="60" workbookViewId="0"/>
  </sheetViews>
  <sheetFormatPr defaultRowHeight="15"/>
  <cols>
    <col min="1" max="1" width="4.5703125" customWidth="1"/>
    <col min="3" max="3" width="36" bestFit="1" customWidth="1"/>
    <col min="4" max="11" width="13.42578125" customWidth="1"/>
  </cols>
  <sheetData>
    <row r="1" spans="2:11">
      <c r="B1" s="10" t="s">
        <v>55</v>
      </c>
    </row>
    <row r="2" spans="2:11">
      <c r="B2" t="s">
        <v>56</v>
      </c>
    </row>
    <row r="4" spans="2:11" s="2" customFormat="1" ht="4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>
      <c r="D5" t="s">
        <v>10</v>
      </c>
      <c r="E5" t="s">
        <v>11</v>
      </c>
      <c r="F5" t="s">
        <v>12</v>
      </c>
      <c r="G5" t="s">
        <v>12</v>
      </c>
      <c r="H5" t="s">
        <v>13</v>
      </c>
      <c r="I5" t="s">
        <v>14</v>
      </c>
    </row>
    <row r="6" spans="2:11">
      <c r="D6">
        <v>2018</v>
      </c>
      <c r="E6">
        <v>2017</v>
      </c>
      <c r="F6">
        <v>2015</v>
      </c>
      <c r="G6">
        <v>2015</v>
      </c>
      <c r="H6">
        <v>2017</v>
      </c>
      <c r="I6">
        <v>2019</v>
      </c>
    </row>
    <row r="7" spans="2:11">
      <c r="D7" t="s">
        <v>15</v>
      </c>
      <c r="E7" t="s">
        <v>16</v>
      </c>
      <c r="F7" t="s">
        <v>17</v>
      </c>
      <c r="G7" t="s">
        <v>17</v>
      </c>
      <c r="H7" t="s">
        <v>18</v>
      </c>
      <c r="I7" t="s">
        <v>19</v>
      </c>
    </row>
    <row r="8" spans="2:11">
      <c r="B8">
        <v>1</v>
      </c>
      <c r="C8" t="s">
        <v>20</v>
      </c>
      <c r="D8" s="3">
        <f>'[1]1.0'!E7</f>
        <v>3.6499999999999998E-2</v>
      </c>
      <c r="E8" s="4">
        <f>'[1]1.0'!G7</f>
        <v>115</v>
      </c>
      <c r="F8" s="4">
        <f>'[1]1.0'!H7</f>
        <v>70</v>
      </c>
      <c r="G8" s="4">
        <f>'[1]1.0'!I7</f>
        <v>5</v>
      </c>
      <c r="H8" s="4">
        <f>'[1]1.0'!J7</f>
        <v>1</v>
      </c>
      <c r="I8" s="4">
        <f>'[1]1.0'!M7</f>
        <v>1</v>
      </c>
      <c r="J8" s="5">
        <f>'[1]1.0'!O7</f>
        <v>0.60869565217391308</v>
      </c>
      <c r="K8" s="5">
        <f>'[1]1.0'!P7</f>
        <v>4.3478260869565216E-2</v>
      </c>
    </row>
    <row r="9" spans="2:11">
      <c r="B9">
        <v>2</v>
      </c>
      <c r="C9" t="s">
        <v>21</v>
      </c>
      <c r="D9" s="3">
        <f>'[1]1.0'!E8</f>
        <v>5.020575</v>
      </c>
      <c r="E9" s="4">
        <f>'[1]1.0'!G8</f>
        <v>13896</v>
      </c>
      <c r="F9" s="4">
        <f>'[1]1.0'!H8</f>
        <v>10656</v>
      </c>
      <c r="G9" s="4">
        <f>'[1]1.0'!I8</f>
        <v>9418</v>
      </c>
      <c r="H9" s="4">
        <f>'[1]1.0'!J8</f>
        <v>7</v>
      </c>
      <c r="I9" s="4">
        <f>'[1]1.0'!M8</f>
        <v>183</v>
      </c>
      <c r="J9" s="5">
        <f>'[1]1.0'!O8</f>
        <v>0.76683937823834192</v>
      </c>
      <c r="K9" s="5">
        <f>'[1]1.0'!P8</f>
        <v>0.8838213213213213</v>
      </c>
    </row>
    <row r="10" spans="2:11">
      <c r="B10">
        <v>3</v>
      </c>
      <c r="C10" t="s">
        <v>22</v>
      </c>
      <c r="D10" s="3">
        <f>'[1]1.0'!E9</f>
        <v>6.6064999999999999E-2</v>
      </c>
      <c r="E10" s="4">
        <f>'[1]1.0'!G9</f>
        <v>181</v>
      </c>
      <c r="F10" s="4">
        <f>'[1]1.0'!H9</f>
        <v>82</v>
      </c>
      <c r="G10" s="4">
        <f>'[1]1.0'!I9</f>
        <v>74</v>
      </c>
      <c r="H10" s="4">
        <f>'[1]1.0'!J9</f>
        <v>0</v>
      </c>
      <c r="I10" s="4">
        <f>'[1]1.0'!M9</f>
        <v>31</v>
      </c>
      <c r="J10" s="5">
        <f>'[1]1.0'!O9</f>
        <v>0.45303867403314918</v>
      </c>
      <c r="K10" s="5">
        <f>'[1]1.0'!P9</f>
        <v>0.90243902439024393</v>
      </c>
    </row>
    <row r="11" spans="2:11">
      <c r="B11">
        <v>4</v>
      </c>
      <c r="C11" t="s">
        <v>23</v>
      </c>
      <c r="D11" s="3">
        <f>'[1]1.0'!E10</f>
        <v>0.41391</v>
      </c>
      <c r="E11" s="4">
        <f>'[1]1.0'!G10</f>
        <v>1134</v>
      </c>
      <c r="F11" s="4">
        <f>'[1]1.0'!H10</f>
        <v>350</v>
      </c>
      <c r="G11" s="4">
        <f>'[1]1.0'!I10</f>
        <v>100</v>
      </c>
      <c r="H11" s="4">
        <f>'[1]1.0'!J10</f>
        <v>1</v>
      </c>
      <c r="I11" s="4">
        <f>'[1]1.0'!M10</f>
        <v>76</v>
      </c>
      <c r="J11" s="5">
        <f>'[1]1.0'!O10</f>
        <v>0.30864197530864196</v>
      </c>
      <c r="K11" s="5">
        <f>'[1]1.0'!P10</f>
        <v>0.2857142857142857</v>
      </c>
    </row>
    <row r="12" spans="2:11">
      <c r="B12">
        <v>5</v>
      </c>
      <c r="C12" t="s">
        <v>24</v>
      </c>
      <c r="D12" s="3">
        <f>'[1]1.0'!E11</f>
        <v>0.82891499999999996</v>
      </c>
      <c r="E12" s="4">
        <f>'[1]1.0'!G11</f>
        <v>14820</v>
      </c>
      <c r="F12" s="4" t="str">
        <f>'[1]1.0'!H11</f>
        <v>n/a</v>
      </c>
      <c r="G12" s="4" t="str">
        <f>'[1]1.0'!I11</f>
        <v>n/a</v>
      </c>
      <c r="H12" s="4">
        <f>'[1]1.0'!J11</f>
        <v>0</v>
      </c>
      <c r="I12" s="4">
        <f>'[1]1.0'!M11</f>
        <v>156</v>
      </c>
      <c r="J12" s="5" t="str">
        <f>'[1]1.0'!O11</f>
        <v>n/a</v>
      </c>
      <c r="K12" s="5" t="str">
        <f>'[1]1.0'!P11</f>
        <v>n/a</v>
      </c>
    </row>
    <row r="13" spans="2:11">
      <c r="B13">
        <v>6</v>
      </c>
      <c r="C13" t="s">
        <v>25</v>
      </c>
      <c r="D13" s="3">
        <f>'[1]1.0'!E12</f>
        <v>0.17227999999999999</v>
      </c>
      <c r="E13" s="4">
        <f>'[1]1.0'!G12</f>
        <v>340</v>
      </c>
      <c r="F13" s="4">
        <f>'[1]1.0'!H12</f>
        <v>330</v>
      </c>
      <c r="G13" s="4">
        <f>'[1]1.0'!I12</f>
        <v>250</v>
      </c>
      <c r="H13" s="4">
        <f>'[1]1.0'!J12</f>
        <v>0</v>
      </c>
      <c r="I13" s="4">
        <f>'[1]1.0'!M12</f>
        <v>1</v>
      </c>
      <c r="J13" s="5">
        <f>'[1]1.0'!O12</f>
        <v>0.97058823529411764</v>
      </c>
      <c r="K13" s="5">
        <f>'[1]1.0'!P12</f>
        <v>0.75757575757575757</v>
      </c>
    </row>
    <row r="14" spans="2:11">
      <c r="B14">
        <v>7</v>
      </c>
      <c r="C14" t="s">
        <v>26</v>
      </c>
      <c r="D14" s="3">
        <f>'[1]1.0'!E13</f>
        <v>0.601885</v>
      </c>
      <c r="E14" s="4">
        <f>'[1]1.0'!G13</f>
        <v>1850</v>
      </c>
      <c r="F14" s="4">
        <f>'[1]1.0'!H13</f>
        <v>1704</v>
      </c>
      <c r="G14" s="4">
        <f>'[1]1.0'!I13</f>
        <v>168</v>
      </c>
      <c r="H14" s="4">
        <f>'[1]1.0'!J13</f>
        <v>1</v>
      </c>
      <c r="I14" s="4">
        <f>'[1]1.0'!M13</f>
        <v>8</v>
      </c>
      <c r="J14" s="5">
        <f>'[1]1.0'!O13</f>
        <v>0.92108108108108111</v>
      </c>
      <c r="K14" s="5">
        <f>'[1]1.0'!P13</f>
        <v>9.8591549295774641E-2</v>
      </c>
    </row>
    <row r="15" spans="2:11">
      <c r="B15">
        <v>8</v>
      </c>
      <c r="C15" t="s">
        <v>27</v>
      </c>
      <c r="D15" s="3">
        <f>'[1]1.0'!E14</f>
        <v>2.4455000000000001E-2</v>
      </c>
      <c r="E15" s="4">
        <f>'[1]1.0'!G14</f>
        <v>81</v>
      </c>
      <c r="F15" s="4">
        <f>'[1]1.0'!H14</f>
        <v>67</v>
      </c>
      <c r="G15" s="4">
        <f>'[1]1.0'!I14</f>
        <v>18</v>
      </c>
      <c r="H15" s="4">
        <f>'[1]1.0'!J14</f>
        <v>1</v>
      </c>
      <c r="I15" s="4">
        <f>'[1]1.0'!M14</f>
        <v>1</v>
      </c>
      <c r="J15" s="5">
        <f>'[1]1.0'!O14</f>
        <v>0.8271604938271605</v>
      </c>
      <c r="K15" s="5">
        <f>'[1]1.0'!P14</f>
        <v>0.26865671641791045</v>
      </c>
    </row>
    <row r="16" spans="2:11">
      <c r="B16">
        <v>9</v>
      </c>
      <c r="C16" t="s">
        <v>28</v>
      </c>
      <c r="D16" s="3">
        <f>'[1]1.0'!E15</f>
        <v>3.8325</v>
      </c>
      <c r="E16" s="4">
        <f>'[1]1.0'!G15</f>
        <v>10500</v>
      </c>
      <c r="F16" s="4">
        <f>'[1]1.0'!H15</f>
        <v>7000</v>
      </c>
      <c r="G16" s="4">
        <f>'[1]1.0'!I15</f>
        <v>4150</v>
      </c>
      <c r="H16" s="4">
        <f>'[1]1.0'!J15</f>
        <v>4</v>
      </c>
      <c r="I16" s="4">
        <f>'[1]1.0'!M15</f>
        <v>3</v>
      </c>
      <c r="J16" s="5">
        <f>'[1]1.0'!O15</f>
        <v>0.66666666666666663</v>
      </c>
      <c r="K16" s="5">
        <f>'[1]1.0'!P15</f>
        <v>0.59285714285714286</v>
      </c>
    </row>
    <row r="17" spans="2:11">
      <c r="B17">
        <v>10</v>
      </c>
      <c r="C17" t="s">
        <v>29</v>
      </c>
      <c r="D17" s="3">
        <f>'[1]1.0'!E16</f>
        <v>9.4899999999999998E-2</v>
      </c>
      <c r="E17" s="4">
        <f>'[1]1.0'!G16</f>
        <v>240</v>
      </c>
      <c r="F17" s="4">
        <f>'[1]1.0'!H16</f>
        <v>182</v>
      </c>
      <c r="G17" s="4">
        <f>'[1]1.0'!I16</f>
        <v>182</v>
      </c>
      <c r="H17" s="4">
        <f>'[1]1.0'!J16</f>
        <v>1</v>
      </c>
      <c r="I17" s="4">
        <f>'[1]1.0'!M16</f>
        <v>9</v>
      </c>
      <c r="J17" s="5">
        <f>'[1]1.0'!O16</f>
        <v>0.7583333333333333</v>
      </c>
      <c r="K17" s="5">
        <f>'[1]1.0'!P16</f>
        <v>1</v>
      </c>
    </row>
    <row r="18" spans="2:11">
      <c r="B18">
        <v>11</v>
      </c>
      <c r="C18" t="s">
        <v>30</v>
      </c>
      <c r="D18" s="3">
        <f>'[1]1.0'!E17</f>
        <v>3.702925</v>
      </c>
      <c r="E18" s="4">
        <f>'[1]1.0'!G17</f>
        <v>10145</v>
      </c>
      <c r="F18" s="4">
        <f>'[1]1.0'!H17</f>
        <v>9227</v>
      </c>
      <c r="G18" s="4">
        <f>'[1]1.0'!I17</f>
        <v>1354</v>
      </c>
      <c r="H18" s="4">
        <f>'[1]1.0'!J17</f>
        <v>15</v>
      </c>
      <c r="I18" s="4">
        <f>'[1]1.0'!M17</f>
        <v>170</v>
      </c>
      <c r="J18" s="5">
        <f>'[1]1.0'!O17</f>
        <v>0.90951207491375063</v>
      </c>
      <c r="K18" s="5">
        <f>'[1]1.0'!P17</f>
        <v>0.14674325349517719</v>
      </c>
    </row>
    <row r="19" spans="2:11">
      <c r="B19">
        <v>12</v>
      </c>
      <c r="C19" t="s">
        <v>31</v>
      </c>
      <c r="D19" s="3">
        <f>'[1]1.0'!E18</f>
        <v>1.64761</v>
      </c>
      <c r="E19" s="4">
        <f>'[1]1.0'!G18</f>
        <v>4514</v>
      </c>
      <c r="F19" s="4">
        <f>'[1]1.0'!H18</f>
        <v>3440</v>
      </c>
      <c r="G19" s="4">
        <f>'[1]1.0'!I18</f>
        <v>570</v>
      </c>
      <c r="H19" s="4">
        <f>'[1]1.0'!J18</f>
        <v>4</v>
      </c>
      <c r="I19" s="4">
        <f>'[1]1.0'!M18</f>
        <v>65</v>
      </c>
      <c r="J19" s="5">
        <f>'[1]1.0'!O18</f>
        <v>0.76207354895879487</v>
      </c>
      <c r="K19" s="5">
        <f>'[1]1.0'!P18</f>
        <v>0.16569767441860464</v>
      </c>
    </row>
    <row r="20" spans="2:11">
      <c r="B20">
        <v>13</v>
      </c>
      <c r="C20" t="s">
        <v>32</v>
      </c>
      <c r="D20" s="3">
        <f>'[1]1.0'!E19</f>
        <v>0.12483</v>
      </c>
      <c r="E20" s="4">
        <f>'[1]1.0'!G19</f>
        <v>342</v>
      </c>
      <c r="F20" s="4">
        <f>'[1]1.0'!H19</f>
        <v>240</v>
      </c>
      <c r="G20" s="4">
        <f>'[1]1.0'!I19</f>
        <v>150</v>
      </c>
      <c r="H20" s="4">
        <f>'[1]1.0'!J19</f>
        <v>0</v>
      </c>
      <c r="I20" s="4">
        <f>'[1]1.0'!M19</f>
        <v>27</v>
      </c>
      <c r="J20" s="5">
        <f>'[1]1.0'!O19</f>
        <v>0.70175438596491224</v>
      </c>
      <c r="K20" s="5">
        <f>'[1]1.0'!P19</f>
        <v>0.625</v>
      </c>
    </row>
    <row r="21" spans="2:11">
      <c r="B21">
        <v>14</v>
      </c>
      <c r="C21" t="s">
        <v>33</v>
      </c>
      <c r="D21" s="3">
        <f>'[1]1.0'!E20</f>
        <v>0.50151000000000001</v>
      </c>
      <c r="E21" s="4">
        <f>'[1]1.0'!G20</f>
        <v>1792</v>
      </c>
      <c r="F21" s="4">
        <f>'[1]1.0'!H20</f>
        <v>1322</v>
      </c>
      <c r="G21" s="4">
        <f>'[1]1.0'!I20</f>
        <v>320</v>
      </c>
      <c r="H21" s="4">
        <f>'[1]1.0'!J20</f>
        <v>0</v>
      </c>
      <c r="I21" s="4">
        <f>'[1]1.0'!M20</f>
        <v>9</v>
      </c>
      <c r="J21" s="5">
        <f>'[1]1.0'!O20</f>
        <v>0.7377232142857143</v>
      </c>
      <c r="K21" s="5">
        <f>'[1]1.0'!P20</f>
        <v>0.24205748865355523</v>
      </c>
    </row>
    <row r="22" spans="2:11">
      <c r="B22">
        <v>15</v>
      </c>
      <c r="C22" t="s">
        <v>34</v>
      </c>
      <c r="D22" s="3">
        <f>'[1]1.0'!E21</f>
        <v>0.84933499999999995</v>
      </c>
      <c r="E22" s="4">
        <f>'[1]1.0'!G21</f>
        <v>3570</v>
      </c>
      <c r="F22" s="4">
        <f>'[1]1.0'!H21</f>
        <v>2350</v>
      </c>
      <c r="G22" s="4">
        <f>'[1]1.0'!I21</f>
        <v>65</v>
      </c>
      <c r="H22" s="4">
        <f>'[1]1.0'!J21</f>
        <v>0</v>
      </c>
      <c r="I22" s="4">
        <f>'[1]1.0'!M21</f>
        <v>42</v>
      </c>
      <c r="J22" s="5">
        <f>'[1]1.0'!O21</f>
        <v>0.65826330532212884</v>
      </c>
      <c r="K22" s="5">
        <f>'[1]1.0'!P21</f>
        <v>2.7659574468085105E-2</v>
      </c>
    </row>
    <row r="23" spans="2:11">
      <c r="B23">
        <v>16</v>
      </c>
      <c r="C23" t="s">
        <v>35</v>
      </c>
      <c r="D23" s="3">
        <f>'[1]1.0'!E22</f>
        <v>3.65</v>
      </c>
      <c r="E23" s="4">
        <f>'[1]1.0'!G22</f>
        <v>10000</v>
      </c>
      <c r="F23" s="4">
        <f>'[1]1.0'!H22</f>
        <v>7602</v>
      </c>
      <c r="G23" s="4">
        <f>'[1]1.0'!I22</f>
        <v>2000</v>
      </c>
      <c r="H23" s="4">
        <f>'[1]1.0'!J22</f>
        <v>18</v>
      </c>
      <c r="I23" s="4">
        <f>'[1]1.0'!M22</f>
        <v>215</v>
      </c>
      <c r="J23" s="5">
        <f>'[1]1.0'!O22</f>
        <v>0.76019999999999999</v>
      </c>
      <c r="K23" s="5">
        <f>'[1]1.0'!P22</f>
        <v>0.26308866087871613</v>
      </c>
    </row>
    <row r="24" spans="2:11">
      <c r="B24">
        <v>17</v>
      </c>
      <c r="C24" t="s">
        <v>36</v>
      </c>
      <c r="D24" s="3">
        <f>'[1]1.0'!E23</f>
        <v>0.22775999999999999</v>
      </c>
      <c r="E24" s="4">
        <f>'[1]1.0'!G23</f>
        <v>1576</v>
      </c>
      <c r="F24" s="4">
        <f>'[1]1.0'!H23</f>
        <v>776</v>
      </c>
      <c r="G24" s="4">
        <f>'[1]1.0'!I23</f>
        <v>470</v>
      </c>
      <c r="H24" s="4">
        <f>'[1]1.0'!J23</f>
        <v>3</v>
      </c>
      <c r="I24" s="4">
        <f>'[1]1.0'!M23</f>
        <v>52</v>
      </c>
      <c r="J24" s="5">
        <f>'[1]1.0'!O23</f>
        <v>0.49238578680203043</v>
      </c>
      <c r="K24" s="5">
        <f>'[1]1.0'!P23</f>
        <v>0.60567010309278346</v>
      </c>
    </row>
    <row r="25" spans="2:11">
      <c r="B25">
        <v>18</v>
      </c>
      <c r="C25" t="s">
        <v>37</v>
      </c>
      <c r="D25" s="3" t="str">
        <f>'[1]1.0'!E24</f>
        <v>n/a</v>
      </c>
      <c r="E25" s="4" t="str">
        <f>'[1]1.0'!G24</f>
        <v>n/a</v>
      </c>
      <c r="F25" s="4" t="str">
        <f>'[1]1.0'!H24</f>
        <v>n/a</v>
      </c>
      <c r="G25" s="4" t="str">
        <f>'[1]1.0'!I24</f>
        <v>n/a</v>
      </c>
      <c r="H25" s="4">
        <f>'[1]1.0'!J24</f>
        <v>0</v>
      </c>
      <c r="I25" s="4">
        <f>'[1]1.0'!M24</f>
        <v>0</v>
      </c>
      <c r="J25" s="5" t="str">
        <f>'[1]1.0'!O24</f>
        <v>n/a</v>
      </c>
      <c r="K25" s="5" t="str">
        <f>'[1]1.0'!P24</f>
        <v>n/a</v>
      </c>
    </row>
    <row r="26" spans="2:11">
      <c r="B26">
        <v>19</v>
      </c>
      <c r="C26" t="s">
        <v>38</v>
      </c>
      <c r="D26" s="3">
        <f>'[1]1.0'!E25</f>
        <v>2.34476</v>
      </c>
      <c r="E26" s="4">
        <f>'[1]1.0'!G25</f>
        <v>5079</v>
      </c>
      <c r="F26" s="4">
        <f>'[1]1.0'!H25</f>
        <v>4298</v>
      </c>
      <c r="G26" s="4">
        <f>'[1]1.0'!I25</f>
        <v>802</v>
      </c>
      <c r="H26" s="4">
        <f>'[1]1.0'!J25</f>
        <v>1</v>
      </c>
      <c r="I26" s="4">
        <f>'[1]1.0'!M25</f>
        <v>378</v>
      </c>
      <c r="J26" s="5">
        <f>'[1]1.0'!O25</f>
        <v>0.84622957275054145</v>
      </c>
      <c r="K26" s="5">
        <f>'[1]1.0'!P25</f>
        <v>0.18659841786877618</v>
      </c>
    </row>
    <row r="27" spans="2:11">
      <c r="B27">
        <v>20</v>
      </c>
      <c r="C27" t="s">
        <v>39</v>
      </c>
      <c r="D27" s="3">
        <f>'[1]1.0'!E26</f>
        <v>8.2380499999999994</v>
      </c>
      <c r="E27" s="4">
        <f>'[1]1.0'!G26</f>
        <v>26820</v>
      </c>
      <c r="F27" s="4">
        <f>'[1]1.0'!H26</f>
        <v>14900</v>
      </c>
      <c r="G27" s="4">
        <f>'[1]1.0'!I26</f>
        <v>4700</v>
      </c>
      <c r="H27" s="4">
        <f>'[1]1.0'!J26</f>
        <v>13</v>
      </c>
      <c r="I27" s="4">
        <f>'[1]1.0'!M26</f>
        <v>327</v>
      </c>
      <c r="J27" s="5">
        <f>'[1]1.0'!O26</f>
        <v>0.55555555555555558</v>
      </c>
      <c r="K27" s="5">
        <f>'[1]1.0'!P26</f>
        <v>0.31543624161073824</v>
      </c>
    </row>
    <row r="28" spans="2:11">
      <c r="B28">
        <v>21</v>
      </c>
      <c r="C28" t="s">
        <v>40</v>
      </c>
      <c r="D28" s="3">
        <f>'[1]1.0'!E27</f>
        <v>6.4240000000000005E-2</v>
      </c>
      <c r="E28" s="4">
        <f>'[1]1.0'!G27</f>
        <v>176</v>
      </c>
      <c r="F28" s="4">
        <f>'[1]1.0'!H27</f>
        <v>125</v>
      </c>
      <c r="G28" s="4">
        <f>'[1]1.0'!I27</f>
        <v>0</v>
      </c>
      <c r="H28" s="4">
        <f>'[1]1.0'!J27</f>
        <v>0</v>
      </c>
      <c r="I28" s="4">
        <f>'[1]1.0'!M27</f>
        <v>21</v>
      </c>
      <c r="J28" s="5">
        <f>'[1]1.0'!O27</f>
        <v>0.71022727272727271</v>
      </c>
      <c r="K28" s="5">
        <f>'[1]1.0'!P27</f>
        <v>0</v>
      </c>
    </row>
    <row r="29" spans="2:11">
      <c r="B29">
        <v>22</v>
      </c>
      <c r="C29" t="s">
        <v>41</v>
      </c>
      <c r="D29" s="3">
        <f>'[1]1.0'!E28</f>
        <v>9.7820000000000004E-2</v>
      </c>
      <c r="E29" s="4">
        <f>'[1]1.0'!G28</f>
        <v>268</v>
      </c>
      <c r="F29" s="4">
        <f>'[1]1.0'!H28</f>
        <v>199</v>
      </c>
      <c r="G29" s="4">
        <f>'[1]1.0'!I28</f>
        <v>98</v>
      </c>
      <c r="H29" s="4">
        <f>'[1]1.0'!J28</f>
        <v>0</v>
      </c>
      <c r="I29" s="4">
        <f>'[1]1.0'!M28</f>
        <v>6</v>
      </c>
      <c r="J29" s="5">
        <f>'[1]1.0'!O28</f>
        <v>0.7425373134328358</v>
      </c>
      <c r="K29" s="5">
        <f>'[1]1.0'!P28</f>
        <v>0.49246231155778897</v>
      </c>
    </row>
    <row r="30" spans="2:11">
      <c r="B30">
        <v>23</v>
      </c>
      <c r="C30" t="s">
        <v>42</v>
      </c>
      <c r="D30" s="3">
        <f>'[1]1.0'!E29</f>
        <v>7.3365E-2</v>
      </c>
      <c r="E30" s="4">
        <f>'[1]1.0'!G29</f>
        <v>276</v>
      </c>
      <c r="F30" s="4">
        <f>'[1]1.0'!H29</f>
        <v>239</v>
      </c>
      <c r="G30" s="4">
        <f>'[1]1.0'!I29</f>
        <v>0</v>
      </c>
      <c r="H30" s="4">
        <f>'[1]1.0'!J29</f>
        <v>0</v>
      </c>
      <c r="I30" s="4">
        <f>'[1]1.0'!M29</f>
        <v>1</v>
      </c>
      <c r="J30" s="5">
        <f>'[1]1.0'!O29</f>
        <v>0.86594202898550721</v>
      </c>
      <c r="K30" s="5">
        <f>'[1]1.0'!P29</f>
        <v>0</v>
      </c>
    </row>
    <row r="31" spans="2:11">
      <c r="B31">
        <v>24</v>
      </c>
      <c r="C31" t="s">
        <v>43</v>
      </c>
      <c r="D31" s="3">
        <f>'[1]1.0'!E30</f>
        <v>0.12483</v>
      </c>
      <c r="E31" s="4">
        <f>'[1]1.0'!G30</f>
        <v>342</v>
      </c>
      <c r="F31" s="4">
        <f>'[1]1.0'!H30</f>
        <v>186</v>
      </c>
      <c r="G31" s="4">
        <f>'[1]1.0'!I30</f>
        <v>18</v>
      </c>
      <c r="H31" s="4">
        <f>'[1]1.0'!J30</f>
        <v>0</v>
      </c>
      <c r="I31" s="4">
        <f>'[1]1.0'!M30</f>
        <v>13</v>
      </c>
      <c r="J31" s="5">
        <f>'[1]1.0'!O30</f>
        <v>0.54385964912280704</v>
      </c>
      <c r="K31" s="5">
        <f>'[1]1.0'!P30</f>
        <v>9.6774193548387094E-2</v>
      </c>
    </row>
    <row r="32" spans="2:11">
      <c r="B32">
        <v>25</v>
      </c>
      <c r="C32" t="s">
        <v>44</v>
      </c>
      <c r="D32" s="3">
        <f>'[1]1.0'!E31</f>
        <v>0.99280000000000002</v>
      </c>
      <c r="E32" s="4">
        <f>'[1]1.0'!G31</f>
        <v>2460</v>
      </c>
      <c r="F32" s="4">
        <f>'[1]1.0'!H31</f>
        <v>2107</v>
      </c>
      <c r="G32" s="4">
        <f>'[1]1.0'!I31</f>
        <v>30</v>
      </c>
      <c r="H32" s="4">
        <f>'[1]1.0'!J31</f>
        <v>0</v>
      </c>
      <c r="I32" s="4">
        <f>'[1]1.0'!M31</f>
        <v>112</v>
      </c>
      <c r="J32" s="5">
        <f>'[1]1.0'!O31</f>
        <v>0.85650406504065035</v>
      </c>
      <c r="K32" s="5">
        <f>'[1]1.0'!P31</f>
        <v>1.4238253440911248E-2</v>
      </c>
    </row>
    <row r="33" spans="2:11">
      <c r="B33">
        <v>26</v>
      </c>
      <c r="C33" t="s">
        <v>45</v>
      </c>
      <c r="D33" s="3">
        <f>'[1]1.0'!E32</f>
        <v>0.12775</v>
      </c>
      <c r="E33" s="4">
        <f>'[1]1.0'!G32</f>
        <v>495</v>
      </c>
      <c r="F33" s="4">
        <f>'[1]1.0'!H32</f>
        <v>495</v>
      </c>
      <c r="G33" s="4">
        <f>'[1]1.0'!I32</f>
        <v>0</v>
      </c>
      <c r="H33" s="4">
        <f>'[1]1.0'!J32</f>
        <v>0</v>
      </c>
      <c r="I33" s="4">
        <f>'[1]1.0'!M32</f>
        <v>3</v>
      </c>
      <c r="J33" s="5">
        <f>'[1]1.0'!O32</f>
        <v>1</v>
      </c>
      <c r="K33" s="5">
        <f>'[1]1.0'!P32</f>
        <v>0</v>
      </c>
    </row>
    <row r="34" spans="2:11">
      <c r="B34">
        <v>27</v>
      </c>
      <c r="C34" t="s">
        <v>46</v>
      </c>
      <c r="D34" s="3">
        <f>'[1]1.0'!E33</f>
        <v>1.4964999999999999</v>
      </c>
      <c r="E34" s="4">
        <f>'[1]1.0'!G33</f>
        <v>4100</v>
      </c>
      <c r="F34" s="4">
        <f>'[1]1.0'!H33</f>
        <v>3853</v>
      </c>
      <c r="G34" s="4">
        <f>'[1]1.0'!I33</f>
        <v>32</v>
      </c>
      <c r="H34" s="4">
        <f>'[1]1.0'!J33</f>
        <v>2</v>
      </c>
      <c r="I34" s="4">
        <f>'[1]1.0'!M33</f>
        <v>150</v>
      </c>
      <c r="J34" s="5">
        <f>'[1]1.0'!O33</f>
        <v>0.93975609756097556</v>
      </c>
      <c r="K34" s="5">
        <f>'[1]1.0'!P33</f>
        <v>8.3052167142486366E-3</v>
      </c>
    </row>
    <row r="35" spans="2:11">
      <c r="B35">
        <v>28</v>
      </c>
      <c r="C35" t="s">
        <v>47</v>
      </c>
      <c r="D35" s="3">
        <f>'[1]1.0'!E34</f>
        <v>2.3725000000000001</v>
      </c>
      <c r="E35" s="4">
        <f>'[1]1.0'!G34</f>
        <v>6400</v>
      </c>
      <c r="F35" s="4">
        <f>'[1]1.0'!H34</f>
        <v>2491</v>
      </c>
      <c r="G35" s="4">
        <f>'[1]1.0'!I34</f>
        <v>490</v>
      </c>
      <c r="H35" s="4">
        <f>'[1]1.0'!J34</f>
        <v>1</v>
      </c>
      <c r="I35" s="4">
        <f>'[1]1.0'!M34</f>
        <v>195</v>
      </c>
      <c r="J35" s="5">
        <f>'[1]1.0'!O34</f>
        <v>0.38921875</v>
      </c>
      <c r="K35" s="5">
        <f>'[1]1.0'!P34</f>
        <v>0.19670814933761541</v>
      </c>
    </row>
    <row r="36" spans="2:11">
      <c r="B36">
        <v>29</v>
      </c>
      <c r="C36" t="s">
        <v>48</v>
      </c>
      <c r="D36" s="3">
        <f>'[1]1.0'!E35</f>
        <v>3.2485E-2</v>
      </c>
      <c r="E36" s="4">
        <f>'[1]1.0'!G35</f>
        <v>89</v>
      </c>
      <c r="F36" s="4">
        <f>'[1]1.0'!H35</f>
        <v>49</v>
      </c>
      <c r="G36" s="4">
        <f>'[1]1.0'!I35</f>
        <v>0.3</v>
      </c>
      <c r="H36" s="4">
        <f>'[1]1.0'!J35</f>
        <v>0</v>
      </c>
      <c r="I36" s="4">
        <f>'[1]1.0'!M35</f>
        <v>2</v>
      </c>
      <c r="J36" s="5">
        <f>'[1]1.0'!O35</f>
        <v>0.550561797752809</v>
      </c>
      <c r="K36" s="5">
        <f>'[1]1.0'!P35</f>
        <v>6.1224489795918364E-3</v>
      </c>
    </row>
    <row r="37" spans="2:11">
      <c r="B37">
        <v>30</v>
      </c>
      <c r="C37" t="s">
        <v>49</v>
      </c>
      <c r="D37" s="3">
        <f>'[1]1.0'!E36</f>
        <v>5.6016550000000001</v>
      </c>
      <c r="E37" s="4">
        <f>'[1]1.0'!G36</f>
        <v>15272</v>
      </c>
      <c r="F37" s="4">
        <f>'[1]1.0'!H36</f>
        <v>14234</v>
      </c>
      <c r="G37" s="4">
        <f>'[1]1.0'!I36</f>
        <v>1607</v>
      </c>
      <c r="H37" s="4">
        <f>'[1]1.0'!J36</f>
        <v>9</v>
      </c>
      <c r="I37" s="4">
        <f>'[1]1.0'!M36</f>
        <v>140</v>
      </c>
      <c r="J37" s="5">
        <f>'[1]1.0'!O36</f>
        <v>0.93203247773703513</v>
      </c>
      <c r="K37" s="5">
        <f>'[1]1.0'!P36</f>
        <v>0.11289869326963609</v>
      </c>
    </row>
    <row r="38" spans="2:11">
      <c r="B38">
        <v>31</v>
      </c>
      <c r="C38" t="s">
        <v>50</v>
      </c>
      <c r="D38" s="3">
        <f>'[1]1.0'!E37</f>
        <v>0.15329999999999999</v>
      </c>
      <c r="E38" s="4">
        <f>'[1]1.0'!G37</f>
        <v>421</v>
      </c>
      <c r="F38" s="4">
        <f>'[1]1.0'!H37</f>
        <v>407</v>
      </c>
      <c r="G38" s="4">
        <f>'[1]1.0'!I37</f>
        <v>0</v>
      </c>
      <c r="H38" s="4">
        <f>'[1]1.0'!J37</f>
        <v>1</v>
      </c>
      <c r="I38" s="4">
        <f>'[1]1.0'!M37</f>
        <v>17</v>
      </c>
      <c r="J38" s="5">
        <f>'[1]1.0'!O37</f>
        <v>0.9667458432304038</v>
      </c>
      <c r="K38" s="5">
        <f>'[1]1.0'!P37</f>
        <v>0</v>
      </c>
    </row>
    <row r="39" spans="2:11">
      <c r="B39">
        <v>32</v>
      </c>
      <c r="C39" t="s">
        <v>51</v>
      </c>
      <c r="D39" s="3">
        <f>'[1]1.0'!E38</f>
        <v>6.1319999999999997</v>
      </c>
      <c r="E39" s="4">
        <f>'[1]1.0'!G38</f>
        <v>19180</v>
      </c>
      <c r="F39" s="4">
        <f>'[1]1.0'!H38</f>
        <v>15500</v>
      </c>
      <c r="G39" s="4">
        <f>'[1]1.0'!I38</f>
        <v>5197</v>
      </c>
      <c r="H39" s="4">
        <f>'[1]1.0'!J38</f>
        <v>7</v>
      </c>
      <c r="I39" s="4">
        <f>'[1]1.0'!M38</f>
        <v>609</v>
      </c>
      <c r="J39" s="5">
        <f>'[1]1.0'!O38</f>
        <v>0.80813347236704902</v>
      </c>
      <c r="K39" s="5">
        <f>'[1]1.0'!P38</f>
        <v>0.33529032258064517</v>
      </c>
    </row>
    <row r="40" spans="2:11">
      <c r="B40">
        <v>33</v>
      </c>
      <c r="C40" t="s">
        <v>52</v>
      </c>
      <c r="D40" s="3">
        <f>'[1]1.0'!E39</f>
        <v>0.51319000000000004</v>
      </c>
      <c r="E40" s="4">
        <f>'[1]1.0'!G39</f>
        <v>1400</v>
      </c>
      <c r="F40" s="4">
        <f>'[1]1.0'!H39</f>
        <v>1013</v>
      </c>
      <c r="G40" s="4">
        <f>'[1]1.0'!I39</f>
        <v>0</v>
      </c>
      <c r="H40" s="4">
        <f>'[1]1.0'!J39</f>
        <v>0</v>
      </c>
      <c r="I40" s="4">
        <f>'[1]1.0'!M39</f>
        <v>42</v>
      </c>
      <c r="J40" s="5">
        <f>'[1]1.0'!O39</f>
        <v>0.72357142857142853</v>
      </c>
      <c r="K40" s="5">
        <f>'[1]1.0'!P39</f>
        <v>0</v>
      </c>
    </row>
    <row r="41" spans="2:11">
      <c r="B41">
        <v>34</v>
      </c>
      <c r="C41" t="s">
        <v>53</v>
      </c>
      <c r="D41" s="3">
        <f>'[1]1.0'!E40</f>
        <v>2.8105000000000002</v>
      </c>
      <c r="E41" s="4">
        <f>'[1]1.0'!G40</f>
        <v>8675</v>
      </c>
      <c r="F41" s="4">
        <f>'[1]1.0'!H40</f>
        <v>7196</v>
      </c>
      <c r="G41" s="4">
        <f>'[1]1.0'!I40</f>
        <v>1415</v>
      </c>
      <c r="H41" s="4">
        <f>'[1]1.0'!J40</f>
        <v>5</v>
      </c>
      <c r="I41" s="4">
        <f>'[1]1.0'!M40</f>
        <v>88</v>
      </c>
      <c r="J41" s="5">
        <f>'[1]1.0'!O40</f>
        <v>0.82951008645533142</v>
      </c>
      <c r="K41" s="5">
        <f>'[1]1.0'!P40</f>
        <v>0.19663702056698165</v>
      </c>
    </row>
    <row r="42" spans="2:11">
      <c r="B42" s="6"/>
      <c r="C42" s="6" t="s">
        <v>54</v>
      </c>
      <c r="D42" s="7">
        <f t="shared" ref="D42:I42" si="0">SUM(D8:D41)</f>
        <v>52.971700000000006</v>
      </c>
      <c r="E42" s="8">
        <f t="shared" si="0"/>
        <v>166549</v>
      </c>
      <c r="F42" s="8">
        <f t="shared" si="0"/>
        <v>112690</v>
      </c>
      <c r="G42" s="8">
        <f t="shared" si="0"/>
        <v>33683.300000000003</v>
      </c>
      <c r="H42" s="8">
        <f t="shared" si="0"/>
        <v>95</v>
      </c>
      <c r="I42" s="8">
        <f t="shared" si="0"/>
        <v>3153</v>
      </c>
      <c r="J42" s="9">
        <f>IF(ISNUMBER(F42/E42),(F42/E42),"n/a")</f>
        <v>0.67661769209061595</v>
      </c>
      <c r="K42" s="9">
        <f>IF(ISNUMBER(G42/F42),(G42/F42),"n/a")</f>
        <v>0.29890229834058035</v>
      </c>
    </row>
  </sheetData>
  <pageMargins left="0.7" right="0.7" top="0.75" bottom="0.75" header="0.3" footer="0.3"/>
  <pageSetup scale="5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</dc:creator>
  <cp:lastModifiedBy>i5</cp:lastModifiedBy>
  <dcterms:created xsi:type="dcterms:W3CDTF">2020-08-26T01:29:46Z</dcterms:created>
  <dcterms:modified xsi:type="dcterms:W3CDTF">2020-08-26T01:31:45Z</dcterms:modified>
</cp:coreProperties>
</file>